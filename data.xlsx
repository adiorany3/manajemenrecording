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bookpro/Desktop/Pengabdian Pasca/"/>
    </mc:Choice>
  </mc:AlternateContent>
  <xr:revisionPtr revIDLastSave="0" documentId="13_ncr:1_{79A210E2-DF32-FB4D-B171-183F7DF1E781}" xr6:coauthVersionLast="47" xr6:coauthVersionMax="47" xr10:uidLastSave="{00000000-0000-0000-0000-000000000000}"/>
  <bookViews>
    <workbookView xWindow="15360" yWindow="1600" windowWidth="19420" windowHeight="11020" activeTab="2" xr2:uid="{00000000-000D-0000-FFFF-FFFF00000000}"/>
  </bookViews>
  <sheets>
    <sheet name="KodePenyakit" sheetId="3" r:id="rId1"/>
    <sheet name="GejalaPenyakit" sheetId="4" r:id="rId2"/>
    <sheet name="Recording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6" i="5" l="1"/>
  <c r="L5" i="5"/>
  <c r="L4" i="5"/>
</calcChain>
</file>

<file path=xl/sharedStrings.xml><?xml version="1.0" encoding="utf-8"?>
<sst xmlns="http://schemas.openxmlformats.org/spreadsheetml/2006/main" count="133" uniqueCount="130">
  <si>
    <t>Kode Gejala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</si>
  <si>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</si>
  <si>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</si>
  <si>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</si>
  <si>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</si>
  <si>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</si>
  <si>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</si>
  <si>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</si>
  <si>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</si>
  <si>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</si>
  <si>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</si>
  <si>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</si>
  <si>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</si>
  <si>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</si>
  <si>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</si>
  <si>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</si>
  <si>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</si>
  <si>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</si>
  <si>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</si>
  <si>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</si>
  <si>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</si>
  <si>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</si>
  <si>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</si>
  <si>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</si>
  <si>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</si>
  <si>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</si>
  <si>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</si>
  <si>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</si>
  <si>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</si>
  <si>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</si>
  <si>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</si>
  <si>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</si>
  <si>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</si>
  <si>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</si>
  <si>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</si>
  <si>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</si>
  <si>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</si>
  <si>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</si>
  <si>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</si>
  <si>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</si>
  <si>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</si>
  <si>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</si>
  <si>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</si>
  <si>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</si>
  <si>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</si>
  <si>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Demam tinggi</t>
  </si>
  <si>
    <t>Gemetar</t>
  </si>
  <si>
    <t>Gangguan pernapasan</t>
  </si>
  <si>
    <t>Pembengkakan pada persendian (Hyroma)</t>
  </si>
  <si>
    <t>Dapat mengalami keguguran/abortus dalam umur 4 bulan</t>
  </si>
  <si>
    <t>Tidak ada tanda hewan terserang bakteri Brucella spp</t>
  </si>
  <si>
    <t>Kejang-kejang</t>
  </si>
  <si>
    <t>Gelisah</t>
  </si>
  <si>
    <t>Depresi</t>
  </si>
  <si>
    <t>Lemah</t>
  </si>
  <si>
    <t>Mata sayu dan berair</t>
  </si>
  <si>
    <t>Mata berair, kemerahan pada bagian mata yang putih dan kelopak matanya</t>
  </si>
  <si>
    <t>Bengkak pada kelopak matanya</t>
  </si>
  <si>
    <t>Terjadi borok atau luka pada selaput bening mata</t>
  </si>
  <si>
    <t>Air liur keluar dari mulut berisi cairan yang bening pada bagian tubuh</t>
  </si>
  <si>
    <t>Sapi tidak dapat berjalan atau bahkan tidak bisa jalan sama sekali karena kakinya melepuh</t>
  </si>
  <si>
    <t>Air liur keluar secara berlebihan</t>
  </si>
  <si>
    <t>Air liur berbau</t>
  </si>
  <si>
    <t>Sapi tampak lesu namun kuat makan dan minum sering menggigit-gigit bagian tubuhnya</t>
  </si>
  <si>
    <t>Bulu kusam</t>
  </si>
  <si>
    <t>Timbulnya benjolan-benjolan pada kulit dengan batas yang jelas</t>
  </si>
  <si>
    <t>Radang selaput lendir mulut</t>
  </si>
  <si>
    <t>Keringat darah</t>
  </si>
  <si>
    <t>Mencret darah</t>
  </si>
  <si>
    <t>Antraks</t>
  </si>
  <si>
    <t>G01, G02, G03, G06, G14, G15, G16, G17, G18, G19, G20,G21</t>
  </si>
  <si>
    <t>Surra (Trypanosomiasis Afrika)</t>
  </si>
  <si>
    <t>G19, G35, G37</t>
  </si>
  <si>
    <t>Mastitis</t>
  </si>
  <si>
    <t>G04, G05, G06, G07, G08</t>
  </si>
  <si>
    <t>Penyakit Mulut Dan Kuku (PMK)</t>
  </si>
  <si>
    <t>G01, G04, G33, G34, G35, G36, G42</t>
  </si>
  <si>
    <t>G22, G23, G24, G25, G26, G27, G28, G29, G30</t>
  </si>
  <si>
    <t>Jembrana</t>
  </si>
  <si>
    <t>G01, G42, G43, G44</t>
  </si>
  <si>
    <t>MCF (Malignant Catarrhal Fever)</t>
  </si>
  <si>
    <t>G01, G28, G38</t>
  </si>
  <si>
    <t xml:space="preserve">BRUCELLOSIS </t>
  </si>
  <si>
    <t>G04, G06, G09, G10, G11, G12, G13, G32</t>
  </si>
  <si>
    <t>Cacingan</t>
  </si>
  <si>
    <t>G04, G07, G23, G39</t>
  </si>
  <si>
    <t>Diare</t>
  </si>
  <si>
    <t>G31, G32, G40</t>
  </si>
  <si>
    <t>Lumpy Skin Disesase (LSD)</t>
  </si>
  <si>
    <t>G01, G04, G33, G34, G41</t>
  </si>
  <si>
    <t>PINK EYE (Penyakit Mata)</t>
  </si>
  <si>
    <t>Nama Penyakit</t>
  </si>
  <si>
    <t>Gejala</t>
  </si>
  <si>
    <t>Kurang nafsu makan</t>
  </si>
  <si>
    <t>Radang pada Putting sapi</t>
  </si>
  <si>
    <t>Ambing membesar dan bila diraba terasa panas</t>
  </si>
  <si>
    <t>Air susu tidak normal/sedikit</t>
  </si>
  <si>
    <t xml:space="preserve">keluar darah atau gumpalan susu saat diperah </t>
  </si>
  <si>
    <t>Pada pejantan (majir)</t>
  </si>
  <si>
    <t>Keluar leleran/lendir vagina</t>
  </si>
  <si>
    <t>Gemetar (ternak ambruk)</t>
  </si>
  <si>
    <t>Detak jantung cepat</t>
  </si>
  <si>
    <t>Bengkak tenggorokan dan lidah</t>
  </si>
  <si>
    <t>Susu berwarna kuning atau kemerahan</t>
  </si>
  <si>
    <t>Terserang 1-2 hari</t>
  </si>
  <si>
    <t>Selaput lendir mata merah</t>
  </si>
  <si>
    <t>Sapi sering memicingkan atau menutup mata saat terkena sinar matahari.</t>
  </si>
  <si>
    <t>Mata sapi tampak keruh atau tidak bening lagi.</t>
  </si>
  <si>
    <t>Terlihat urat darah menonjol di bagian putih mata</t>
  </si>
  <si>
    <t>Sapi tampak lemas</t>
  </si>
  <si>
    <t>Sapi sulit bernapas dan terdengar seperti “ngorok”.</t>
  </si>
  <si>
    <t>Gerakan tubuh sapi tidak normal gangguan syaraf</t>
  </si>
  <si>
    <t>Kotoran sapi sangat cair dan muncul benjolan pada kulit</t>
  </si>
  <si>
    <t>Breeder</t>
  </si>
  <si>
    <t>September</t>
  </si>
  <si>
    <t>Oktober</t>
  </si>
  <si>
    <t>November</t>
  </si>
  <si>
    <t>Populasi</t>
  </si>
  <si>
    <t>Kelahiran</t>
  </si>
  <si>
    <t>Indukan</t>
  </si>
  <si>
    <t>Pejantan</t>
  </si>
  <si>
    <t>Pedet</t>
  </si>
  <si>
    <t>bakalan</t>
  </si>
  <si>
    <t>Jantan</t>
  </si>
  <si>
    <t>Betina</t>
  </si>
  <si>
    <t>Bulan</t>
  </si>
  <si>
    <t>Jual</t>
  </si>
  <si>
    <t>Kematian</t>
  </si>
  <si>
    <t>Total</t>
  </si>
  <si>
    <t>Baru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</si>
</sst>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76332-64FB-074C-BA76-438E2E6256E7}">
  <dimension ref="A1:B45"/>
  <sheetViews>
    <sheetView workbookViewId="0">
      <selection sqref="A1:B45"/>
    </sheetView>
  </sheetViews>
  <sheetFormatPr baseColWidth="10" defaultRowHeight="15" x14ac:dyDescent="0.2"/>
  <sheetData>
    <row r="1" spans="1:2" x14ac:dyDescent="0.2">
      <c r="A1" s="1" t="s">
        <v>0</v>
      </c>
      <c r="B1" s="1" t="s">
        <v>92</v>
      </c>
    </row>
    <row r="2" spans="1:2" x14ac:dyDescent="0.2">
      <c r="A2" s="3" t="s">
        <v>1</v>
      </c>
      <c r="B2" s="2" t="s">
        <v>45</v>
      </c>
    </row>
    <row r="3" spans="1:2" x14ac:dyDescent="0.2">
      <c r="A3" s="3" t="s">
        <v>2</v>
      </c>
      <c r="B3" s="2" t="s">
        <v>46</v>
      </c>
    </row>
    <row r="4" spans="1:2" x14ac:dyDescent="0.2">
      <c r="A4" s="3" t="s">
        <v>3</v>
      </c>
      <c r="B4" s="2" t="s">
        <v>47</v>
      </c>
    </row>
    <row r="5" spans="1:2" x14ac:dyDescent="0.2">
      <c r="A5" s="3" t="s">
        <v>4</v>
      </c>
      <c r="B5" s="2" t="s">
        <v>93</v>
      </c>
    </row>
    <row r="6" spans="1:2" x14ac:dyDescent="0.2">
      <c r="A6" s="3" t="s">
        <v>5</v>
      </c>
      <c r="B6" s="2" t="s">
        <v>94</v>
      </c>
    </row>
    <row r="7" spans="1:2" x14ac:dyDescent="0.2">
      <c r="A7" s="3" t="s">
        <v>6</v>
      </c>
      <c r="B7" s="2" t="s">
        <v>96</v>
      </c>
    </row>
    <row r="8" spans="1:2" x14ac:dyDescent="0.2">
      <c r="A8" s="3" t="s">
        <v>7</v>
      </c>
      <c r="B8" s="2" t="s">
        <v>95</v>
      </c>
    </row>
    <row r="9" spans="1:2" x14ac:dyDescent="0.2">
      <c r="A9" s="3" t="s">
        <v>8</v>
      </c>
      <c r="B9" s="2" t="s">
        <v>97</v>
      </c>
    </row>
    <row r="10" spans="1:2" x14ac:dyDescent="0.2">
      <c r="A10" s="3" t="s">
        <v>9</v>
      </c>
      <c r="B10" s="2" t="s">
        <v>48</v>
      </c>
    </row>
    <row r="11" spans="1:2" x14ac:dyDescent="0.2">
      <c r="A11" s="3" t="s">
        <v>10</v>
      </c>
      <c r="B11" s="2" t="s">
        <v>49</v>
      </c>
    </row>
    <row r="12" spans="1:2" x14ac:dyDescent="0.2">
      <c r="A12" s="3" t="s">
        <v>11</v>
      </c>
      <c r="B12" s="2" t="s">
        <v>98</v>
      </c>
    </row>
    <row r="13" spans="1:2" x14ac:dyDescent="0.2">
      <c r="A13" s="3" t="s">
        <v>12</v>
      </c>
      <c r="B13" s="2" t="s">
        <v>50</v>
      </c>
    </row>
    <row r="14" spans="1:2" x14ac:dyDescent="0.2">
      <c r="A14" s="3" t="s">
        <v>13</v>
      </c>
      <c r="B14" s="2" t="s">
        <v>99</v>
      </c>
    </row>
    <row r="15" spans="1:2" x14ac:dyDescent="0.2">
      <c r="A15" s="3" t="s">
        <v>14</v>
      </c>
      <c r="B15" s="2" t="s">
        <v>100</v>
      </c>
    </row>
    <row r="16" spans="1:2" x14ac:dyDescent="0.2">
      <c r="A16" s="3" t="s">
        <v>15</v>
      </c>
      <c r="B16" s="2" t="s">
        <v>51</v>
      </c>
    </row>
    <row r="17" spans="1:2" x14ac:dyDescent="0.2">
      <c r="A17" s="3" t="s">
        <v>16</v>
      </c>
      <c r="B17" s="2" t="s">
        <v>52</v>
      </c>
    </row>
    <row r="18" spans="1:2" x14ac:dyDescent="0.2">
      <c r="A18" s="3" t="s">
        <v>17</v>
      </c>
      <c r="B18" s="2" t="s">
        <v>53</v>
      </c>
    </row>
    <row r="19" spans="1:2" x14ac:dyDescent="0.2">
      <c r="A19" s="3" t="s">
        <v>18</v>
      </c>
      <c r="B19" s="2" t="s">
        <v>101</v>
      </c>
    </row>
    <row r="20" spans="1:2" x14ac:dyDescent="0.2">
      <c r="A20" s="3" t="s">
        <v>19</v>
      </c>
      <c r="B20" s="2" t="s">
        <v>54</v>
      </c>
    </row>
    <row r="21" spans="1:2" x14ac:dyDescent="0.2">
      <c r="A21" s="3" t="s">
        <v>20</v>
      </c>
      <c r="B21" s="2" t="s">
        <v>102</v>
      </c>
    </row>
    <row r="22" spans="1:2" x14ac:dyDescent="0.2">
      <c r="A22" s="3" t="s">
        <v>21</v>
      </c>
      <c r="B22" s="2" t="s">
        <v>103</v>
      </c>
    </row>
    <row r="23" spans="1:2" x14ac:dyDescent="0.2">
      <c r="A23" s="3" t="s">
        <v>22</v>
      </c>
      <c r="B23" s="2" t="s">
        <v>104</v>
      </c>
    </row>
    <row r="24" spans="1:2" x14ac:dyDescent="0.2">
      <c r="A24" s="3" t="s">
        <v>23</v>
      </c>
      <c r="B24" s="2" t="s">
        <v>55</v>
      </c>
    </row>
    <row r="25" spans="1:2" x14ac:dyDescent="0.2">
      <c r="A25" s="3" t="s">
        <v>24</v>
      </c>
      <c r="B25" s="2" t="s">
        <v>105</v>
      </c>
    </row>
    <row r="26" spans="1:2" x14ac:dyDescent="0.2">
      <c r="A26" s="3" t="s">
        <v>25</v>
      </c>
      <c r="B26" s="2" t="s">
        <v>56</v>
      </c>
    </row>
    <row r="27" spans="1:2" x14ac:dyDescent="0.2">
      <c r="A27" s="3" t="s">
        <v>26</v>
      </c>
      <c r="B27" s="2" t="s">
        <v>57</v>
      </c>
    </row>
    <row r="28" spans="1:2" x14ac:dyDescent="0.2">
      <c r="A28" s="3" t="s">
        <v>27</v>
      </c>
      <c r="B28" t="s">
        <v>106</v>
      </c>
    </row>
    <row r="29" spans="1:2" x14ac:dyDescent="0.2">
      <c r="A29" s="3" t="s">
        <v>28</v>
      </c>
      <c r="B29" t="s">
        <v>107</v>
      </c>
    </row>
    <row r="30" spans="1:2" x14ac:dyDescent="0.2">
      <c r="A30" s="3" t="s">
        <v>29</v>
      </c>
      <c r="B30" s="2" t="s">
        <v>108</v>
      </c>
    </row>
    <row r="31" spans="1:2" x14ac:dyDescent="0.2">
      <c r="A31" s="3" t="s">
        <v>30</v>
      </c>
      <c r="B31" s="2" t="s">
        <v>58</v>
      </c>
    </row>
    <row r="32" spans="1:2" x14ac:dyDescent="0.2">
      <c r="A32" s="3" t="s">
        <v>31</v>
      </c>
      <c r="B32" s="2" t="s">
        <v>109</v>
      </c>
    </row>
    <row r="33" spans="1:2" x14ac:dyDescent="0.2">
      <c r="A33" s="3" t="s">
        <v>32</v>
      </c>
      <c r="B33" s="2" t="s">
        <v>110</v>
      </c>
    </row>
    <row r="34" spans="1:2" x14ac:dyDescent="0.2">
      <c r="A34" s="3" t="s">
        <v>33</v>
      </c>
      <c r="B34" s="2" t="s">
        <v>59</v>
      </c>
    </row>
    <row r="35" spans="1:2" x14ac:dyDescent="0.2">
      <c r="A35" s="3" t="s">
        <v>34</v>
      </c>
      <c r="B35" s="2" t="s">
        <v>60</v>
      </c>
    </row>
    <row r="36" spans="1:2" x14ac:dyDescent="0.2">
      <c r="A36" s="3" t="s">
        <v>35</v>
      </c>
      <c r="B36" s="2" t="s">
        <v>61</v>
      </c>
    </row>
    <row r="37" spans="1:2" x14ac:dyDescent="0.2">
      <c r="A37" s="3" t="s">
        <v>36</v>
      </c>
      <c r="B37" s="2" t="s">
        <v>62</v>
      </c>
    </row>
    <row r="38" spans="1:2" x14ac:dyDescent="0.2">
      <c r="A38" s="3" t="s">
        <v>37</v>
      </c>
      <c r="B38" s="2" t="s">
        <v>63</v>
      </c>
    </row>
    <row r="39" spans="1:2" x14ac:dyDescent="0.2">
      <c r="A39" s="3" t="s">
        <v>38</v>
      </c>
      <c r="B39" s="2" t="s">
        <v>111</v>
      </c>
    </row>
    <row r="40" spans="1:2" x14ac:dyDescent="0.2">
      <c r="A40" s="3" t="s">
        <v>39</v>
      </c>
      <c r="B40" s="2" t="s">
        <v>64</v>
      </c>
    </row>
    <row r="41" spans="1:2" x14ac:dyDescent="0.2">
      <c r="A41" s="3" t="s">
        <v>40</v>
      </c>
      <c r="B41" s="2" t="s">
        <v>112</v>
      </c>
    </row>
    <row r="42" spans="1:2" x14ac:dyDescent="0.2">
      <c r="A42" s="3" t="s">
        <v>41</v>
      </c>
      <c r="B42" s="2" t="s">
        <v>65</v>
      </c>
    </row>
    <row r="43" spans="1:2" x14ac:dyDescent="0.2">
      <c r="A43" s="3" t="s">
        <v>42</v>
      </c>
      <c r="B43" s="2" t="s">
        <v>66</v>
      </c>
    </row>
    <row r="44" spans="1:2" x14ac:dyDescent="0.2">
      <c r="A44" s="3" t="s">
        <v>43</v>
      </c>
      <c r="B44" s="2" t="s">
        <v>67</v>
      </c>
    </row>
    <row r="45" spans="1:2" x14ac:dyDescent="0.2">
      <c r="A45" s="3" t="s">
        <v>44</v>
      </c>
      <c r="B45" s="2" t="s">
        <v>68</v>
      </c>
    </row>
  </sheetData>
  <conditionalFormatting sqref="A1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4F275-FDD4-9C40-8C21-BD0C0FDC0FBE}">
  <dimension ref="A1:B12"/>
  <sheetViews>
    <sheetView workbookViewId="0">
      <selection sqref="A1:B12"/>
    </sheetView>
  </sheetViews>
  <sheetFormatPr baseColWidth="10" defaultRowHeight="15" x14ac:dyDescent="0.2"/>
  <sheetData>
    <row r="1" spans="1:2" x14ac:dyDescent="0.2">
      <c r="A1" s="3" t="s">
        <v>91</v>
      </c>
      <c r="B1" s="3" t="s">
        <v>0</v>
      </c>
    </row>
    <row r="2" spans="1:2" x14ac:dyDescent="0.2">
      <c r="A2" s="4" t="s">
        <v>69</v>
      </c>
      <c r="B2" s="2" t="s">
        <v>70</v>
      </c>
    </row>
    <row r="3" spans="1:2" x14ac:dyDescent="0.2">
      <c r="A3" s="4" t="s">
        <v>71</v>
      </c>
      <c r="B3" s="2" t="s">
        <v>72</v>
      </c>
    </row>
    <row r="4" spans="1:2" x14ac:dyDescent="0.2">
      <c r="A4" s="4" t="s">
        <v>73</v>
      </c>
      <c r="B4" s="2" t="s">
        <v>74</v>
      </c>
    </row>
    <row r="5" spans="1:2" ht="48" x14ac:dyDescent="0.2">
      <c r="A5" s="5" t="s">
        <v>75</v>
      </c>
      <c r="B5" s="2" t="s">
        <v>76</v>
      </c>
    </row>
    <row r="6" spans="1:2" ht="48" x14ac:dyDescent="0.2">
      <c r="A6" s="5" t="s">
        <v>90</v>
      </c>
      <c r="B6" s="2" t="s">
        <v>77</v>
      </c>
    </row>
    <row r="7" spans="1:2" x14ac:dyDescent="0.2">
      <c r="A7" s="4" t="s">
        <v>78</v>
      </c>
      <c r="B7" s="2" t="s">
        <v>79</v>
      </c>
    </row>
    <row r="8" spans="1:2" x14ac:dyDescent="0.2">
      <c r="A8" s="2" t="s">
        <v>80</v>
      </c>
      <c r="B8" s="2" t="s">
        <v>81</v>
      </c>
    </row>
    <row r="9" spans="1:2" x14ac:dyDescent="0.2">
      <c r="A9" s="2" t="s">
        <v>82</v>
      </c>
      <c r="B9" s="2" t="s">
        <v>83</v>
      </c>
    </row>
    <row r="10" spans="1:2" x14ac:dyDescent="0.2">
      <c r="A10" s="2" t="s">
        <v>84</v>
      </c>
      <c r="B10" s="2" t="s">
        <v>85</v>
      </c>
    </row>
    <row r="11" spans="1:2" x14ac:dyDescent="0.2">
      <c r="A11" s="2" t="s">
        <v>86</v>
      </c>
      <c r="B11" s="2" t="s">
        <v>87</v>
      </c>
    </row>
    <row r="12" spans="1:2" x14ac:dyDescent="0.2">
      <c r="A12" s="2" t="s">
        <v>88</v>
      </c>
      <c r="B12" s="2" t="s">
        <v>89</v>
      </c>
    </row>
  </sheetData>
  <conditionalFormatting sqref="A2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BE5BE-6A57-914A-B52B-81ABE4E2630B}">
  <dimension ref="A1:L6"/>
  <sheetViews>
    <sheetView tabSelected="1" workbookViewId="0">
      <selection sqref="A1:L6"/>
    </sheetView>
  </sheetViews>
  <sheetFormatPr baseColWidth="10" defaultRowHeight="15" x14ac:dyDescent="0.2"/>
  <sheetData>
    <row r="1" spans="1:12" x14ac:dyDescent="0.2">
      <c r="A1" s="10" t="s">
        <v>125</v>
      </c>
      <c r="B1" s="10" t="s">
        <v>117</v>
      </c>
      <c r="C1" s="10"/>
      <c r="D1" s="10"/>
      <c r="E1" s="10"/>
      <c r="F1" s="10"/>
      <c r="G1" s="10"/>
      <c r="H1" s="10" t="s">
        <v>118</v>
      </c>
      <c r="I1" s="11" t="s">
        <v>129</v>
      </c>
      <c r="J1" s="10" t="s">
        <v>127</v>
      </c>
      <c r="K1" s="10" t="s">
        <v>126</v>
      </c>
      <c r="L1" s="10" t="s">
        <v>128</v>
      </c>
    </row>
    <row r="2" spans="1:12" x14ac:dyDescent="0.2">
      <c r="A2" s="10"/>
      <c r="B2" s="10" t="s">
        <v>113</v>
      </c>
      <c r="C2" s="10"/>
      <c r="D2" s="10" t="s">
        <v>122</v>
      </c>
      <c r="E2" s="10"/>
      <c r="F2" s="10" t="s">
        <v>121</v>
      </c>
      <c r="G2" s="10"/>
      <c r="H2" s="10"/>
      <c r="I2" s="12"/>
      <c r="J2" s="10"/>
      <c r="K2" s="10"/>
      <c r="L2" s="10"/>
    </row>
    <row r="3" spans="1:12" x14ac:dyDescent="0.2">
      <c r="A3" s="10"/>
      <c r="B3" s="6" t="s">
        <v>119</v>
      </c>
      <c r="C3" s="6" t="s">
        <v>120</v>
      </c>
      <c r="D3" s="6" t="s">
        <v>123</v>
      </c>
      <c r="E3" s="6" t="s">
        <v>124</v>
      </c>
      <c r="F3" s="6" t="s">
        <v>123</v>
      </c>
      <c r="G3" s="6" t="s">
        <v>124</v>
      </c>
      <c r="H3" s="10"/>
      <c r="I3" s="13"/>
      <c r="J3" s="10"/>
      <c r="K3" s="10"/>
      <c r="L3" s="10"/>
    </row>
    <row r="4" spans="1:12" x14ac:dyDescent="0.2">
      <c r="A4" s="7" t="s">
        <v>114</v>
      </c>
      <c r="B4" s="7">
        <v>93</v>
      </c>
      <c r="C4" s="7">
        <v>7</v>
      </c>
      <c r="D4" s="7">
        <v>10</v>
      </c>
      <c r="E4" s="7">
        <v>30</v>
      </c>
      <c r="F4" s="7">
        <v>21</v>
      </c>
      <c r="G4" s="7">
        <v>26</v>
      </c>
      <c r="H4" s="7">
        <v>3</v>
      </c>
      <c r="I4" s="7"/>
      <c r="J4" s="7">
        <v>0</v>
      </c>
      <c r="K4" s="7">
        <v>1</v>
      </c>
      <c r="L4" s="7">
        <f>B4+C4+D4+E4+F4+G4+H4-J4-K4</f>
        <v>189</v>
      </c>
    </row>
    <row r="5" spans="1:12" x14ac:dyDescent="0.2">
      <c r="A5" s="8" t="s">
        <v>115</v>
      </c>
      <c r="B5" s="8">
        <v>94</v>
      </c>
      <c r="C5" s="8">
        <v>7</v>
      </c>
      <c r="D5" s="8">
        <v>10</v>
      </c>
      <c r="E5" s="8">
        <v>30</v>
      </c>
      <c r="F5" s="8">
        <v>28</v>
      </c>
      <c r="G5" s="8">
        <v>27</v>
      </c>
      <c r="H5" s="8">
        <v>6</v>
      </c>
      <c r="I5" s="8">
        <v>2</v>
      </c>
      <c r="J5" s="8">
        <v>1</v>
      </c>
      <c r="K5" s="8">
        <v>0</v>
      </c>
      <c r="L5" s="8">
        <f>B5+C5+D5+E5+F5+G5</f>
        <v>196</v>
      </c>
    </row>
    <row r="6" spans="1:12" x14ac:dyDescent="0.2">
      <c r="A6" s="9" t="s">
        <v>116</v>
      </c>
      <c r="B6" s="9">
        <v>92</v>
      </c>
      <c r="C6" s="9">
        <v>3</v>
      </c>
      <c r="D6" s="9">
        <v>10</v>
      </c>
      <c r="E6" s="9">
        <v>30</v>
      </c>
      <c r="F6" s="9">
        <v>28</v>
      </c>
      <c r="G6" s="9">
        <v>27</v>
      </c>
      <c r="H6" s="9">
        <v>0</v>
      </c>
      <c r="I6" s="9"/>
      <c r="J6" s="9">
        <v>6</v>
      </c>
      <c r="K6" s="9">
        <v>0</v>
      </c>
      <c r="L6" s="9">
        <f>B6+C6+D6+E6+F6+G6+H6+I6</f>
        <v>190</v>
      </c>
    </row>
  </sheetData>
  <mergeCells count="10">
    <mergeCell ref="L1:L3"/>
    <mergeCell ref="B2:C2"/>
    <mergeCell ref="D2:E2"/>
    <mergeCell ref="F2:G2"/>
    <mergeCell ref="A1:A3"/>
    <mergeCell ref="B1:G1"/>
    <mergeCell ref="H1:H3"/>
    <mergeCell ref="I1:I3"/>
    <mergeCell ref="J1:J3"/>
    <mergeCell ref="K1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KodePenyakit</vt:lpstr>
      <vt:lpstr>GejalaPenyakit</vt:lpstr>
      <vt:lpstr>Recording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adioranye</cp:lastModifiedBy>
  <dcterms:created xsi:type="dcterms:W3CDTF">2025-11-07T08:05:12Z</dcterms:created>
  <dcterms:modified xsi:type="dcterms:W3CDTF">2025-11-10T06:29:23Z</dcterms:modified>
</cp:coreProperties>
</file>